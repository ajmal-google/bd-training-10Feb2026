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Forecast" sheetId="2" r:id="rId6"/>
    <sheet state="visible" name="Valuation" sheetId="3" r:id="rId7"/>
    <sheet state="visible" name="Returns" sheetId="4" r:id="rId8"/>
    <sheet state="visible" name="Sensitivities" sheetId="5" r:id="rId9"/>
    <sheet state="visible" name="IC Summary" sheetId="6" r:id="rId10"/>
  </sheets>
  <definedNames/>
  <calcPr/>
</workbook>
</file>

<file path=xl/sharedStrings.xml><?xml version="1.0" encoding="utf-8"?>
<sst xmlns="http://schemas.openxmlformats.org/spreadsheetml/2006/main" count="59" uniqueCount="55">
  <si>
    <t>Key Assumptions</t>
  </si>
  <si>
    <t>Purchase Equity Value ($m)</t>
  </si>
  <si>
    <t>Net Debt at Close ($m)</t>
  </si>
  <si>
    <t>Transaction Costs (% EV)</t>
  </si>
  <si>
    <t>Revenue Year 1 ($m)</t>
  </si>
  <si>
    <t>Revenue Growth (%)</t>
  </si>
  <si>
    <t>EBITDA Margin (%)</t>
  </si>
  <si>
    <t>Synergy EBITDA Uplift (%)</t>
  </si>
  <si>
    <t>Depreciation (% Revenue)</t>
  </si>
  <si>
    <t>Capex (% Revenue)</t>
  </si>
  <si>
    <t>Working Capital (% Revenue)</t>
  </si>
  <si>
    <t>Tax Rate (%)</t>
  </si>
  <si>
    <t>WACC (%)</t>
  </si>
  <si>
    <t>Terminal Growth (%)</t>
  </si>
  <si>
    <t>Exit EBITDA Multiple</t>
  </si>
  <si>
    <t>Year</t>
  </si>
  <si>
    <t>Revenue</t>
  </si>
  <si>
    <t>EBITDA (Standalone)</t>
  </si>
  <si>
    <t>Synergy EBITDA</t>
  </si>
  <si>
    <t>EBITDA (Total)</t>
  </si>
  <si>
    <t>Depreciation</t>
  </si>
  <si>
    <t>EBIT</t>
  </si>
  <si>
    <t>Tax</t>
  </si>
  <si>
    <t>NOPAT</t>
  </si>
  <si>
    <t>Capex</t>
  </si>
  <si>
    <t>Change in Working Capital</t>
  </si>
  <si>
    <t>Free Cash Flow</t>
  </si>
  <si>
    <t>DCF Valuation</t>
  </si>
  <si>
    <t>FCF</t>
  </si>
  <si>
    <t>Discount Factor</t>
  </si>
  <si>
    <t>PV</t>
  </si>
  <si>
    <t>Terminal Value</t>
  </si>
  <si>
    <t>Enterprise Value</t>
  </si>
  <si>
    <t>Equity Value</t>
  </si>
  <si>
    <t>NPV vs Purchase</t>
  </si>
  <si>
    <t>Equity Returns</t>
  </si>
  <si>
    <t>Equity Cash Flow</t>
  </si>
  <si>
    <t>IRR</t>
  </si>
  <si>
    <t>MOIC</t>
  </si>
  <si>
    <t>NPV Sensitivity ($m)</t>
  </si>
  <si>
    <t>WACC \ TG</t>
  </si>
  <si>
    <t>Investment Committee Summary</t>
  </si>
  <si>
    <t>Target</t>
  </si>
  <si>
    <t>Petbarn</t>
  </si>
  <si>
    <t>Investment Type</t>
  </si>
  <si>
    <t>100% Acquisition</t>
  </si>
  <si>
    <t>Equity Purchase ($m)</t>
  </si>
  <si>
    <t>Enterprise Value ($m)</t>
  </si>
  <si>
    <t>Base Case NPV ($m)</t>
  </si>
  <si>
    <t>Key Value Drivers</t>
  </si>
  <si>
    <t>Margin stability, private label, supply chain leverage</t>
  </si>
  <si>
    <t>Key Risks</t>
  </si>
  <si>
    <t>Discretionary spend softness, online competition</t>
  </si>
  <si>
    <t>IC Recommendation</t>
  </si>
  <si>
    <t>Proceed subject to diligence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</si>
</sst>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10">
    <font>
      <sz val="11.0"/>
      <color theme="1"/>
      <name val="Calibri"/>
      <scheme val="minor"/>
    </font>
    <font>
      <color theme="1"/>
      <name val="Arial"/>
    </font>
    <font>
      <b/>
      <color theme="1"/>
      <name val="Arial"/>
    </font>
    <font>
      <color rgb="FFFFFFFF"/>
      <name val="Arial"/>
    </font>
    <font>
      <i/>
      <color theme="1"/>
      <name val="Arial"/>
    </font>
    <font>
      <b/>
      <i/>
      <color rgb="FFFFFFFF"/>
      <name val="Arial"/>
    </font>
    <font>
      <b/>
      <i/>
      <color theme="1"/>
      <name val="Arial"/>
    </font>
    <font>
      <b/>
      <color rgb="FFFFFFFF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67E44"/>
        <bgColor rgb="FF267E44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0" fontId="4" numFmtId="0" xfId="0" applyBorder="1" applyFont="1"/>
    <xf borderId="2" fillId="2" fontId="5" numFmtId="0" xfId="0" applyAlignment="1" applyBorder="1" applyFont="1">
      <alignment readingOrder="0"/>
    </xf>
    <xf borderId="2" fillId="2" fontId="6" numFmtId="0" xfId="0" applyBorder="1" applyFont="1"/>
    <xf borderId="3" fillId="2" fontId="6" numFmtId="0" xfId="0" applyBorder="1" applyFont="1"/>
    <xf borderId="4" fillId="2" fontId="7" numFmtId="0" xfId="0" applyBorder="1" applyFont="1"/>
    <xf borderId="5" fillId="0" fontId="1" numFmtId="0" xfId="0" applyBorder="1" applyFont="1"/>
    <xf borderId="6" fillId="2" fontId="7" numFmtId="0" xfId="0" applyBorder="1" applyFont="1"/>
    <xf borderId="7" fillId="0" fontId="1" numFmtId="0" xfId="0" applyBorder="1" applyFont="1"/>
    <xf borderId="8" fillId="0" fontId="1" numFmtId="0" xfId="0" applyBorder="1" applyFont="1"/>
    <xf borderId="0" fillId="3" fontId="2" numFmtId="0" xfId="0" applyFill="1" applyFont="1"/>
    <xf borderId="0" fillId="3" fontId="1" numFmtId="0" xfId="0" applyFont="1"/>
    <xf borderId="0" fillId="2" fontId="7" numFmtId="0" xfId="0" applyFont="1"/>
    <xf borderId="0" fillId="0" fontId="1" numFmtId="164" xfId="0" applyFont="1" applyNumberFormat="1"/>
    <xf borderId="0" fillId="0" fontId="1" numFmtId="9" xfId="0" applyFont="1" applyNumberFormat="1"/>
    <xf borderId="0" fillId="0" fontId="8" numFmtId="0" xfId="0" applyFont="1"/>
    <xf borderId="0" fillId="0" fontId="9" numFmtId="0" xfId="0" applyFont="1"/>
    <xf borderId="0" fillId="0" fontId="9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800225" cy="81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543050" cy="69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38100</xdr:rowOff>
    </xdr:from>
    <xdr:ext cx="1543050" cy="69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3.29"/>
    <col customWidth="1" min="2" max="26" width="8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</v>
      </c>
      <c r="B8" s="4">
        <v>1500.0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</v>
      </c>
      <c r="B9" s="4">
        <v>300.0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3</v>
      </c>
      <c r="B10" s="4">
        <v>1.5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</v>
      </c>
      <c r="B11" s="4">
        <v>1200.0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5</v>
      </c>
      <c r="B12" s="4">
        <v>4.5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6</v>
      </c>
      <c r="B13" s="4">
        <v>18.0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7</v>
      </c>
      <c r="B14" s="4">
        <v>2.0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8</v>
      </c>
      <c r="B15" s="4">
        <v>2.5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4">
        <v>3.0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10</v>
      </c>
      <c r="B17" s="4">
        <v>4.0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11</v>
      </c>
      <c r="B18" s="4">
        <v>30.0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12</v>
      </c>
      <c r="B19" s="4">
        <v>8.5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13</v>
      </c>
      <c r="B20" s="4">
        <v>2.5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 t="s">
        <v>14</v>
      </c>
      <c r="B21" s="4">
        <v>9.0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3.43"/>
    <col customWidth="1" min="2" max="11" width="18.43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6">
      <c r="A6" s="5" t="s">
        <v>15</v>
      </c>
      <c r="B6" s="6">
        <v>1.0</v>
      </c>
      <c r="C6" s="6">
        <v>2.0</v>
      </c>
      <c r="D6" s="6">
        <v>3.0</v>
      </c>
      <c r="E6" s="6">
        <v>4.0</v>
      </c>
      <c r="F6" s="6">
        <v>5.0</v>
      </c>
      <c r="G6" s="6">
        <v>6.0</v>
      </c>
      <c r="H6" s="6">
        <v>7.0</v>
      </c>
      <c r="I6" s="6">
        <v>8.0</v>
      </c>
      <c r="J6" s="6">
        <v>9.0</v>
      </c>
      <c r="K6" s="7">
        <v>10.0</v>
      </c>
    </row>
    <row r="7">
      <c r="A7" s="8" t="s">
        <v>16</v>
      </c>
      <c r="B7" s="1">
        <f>IF(1=1,Assumptions!B11,A7*(1+Assumptions!B12/100))</f>
        <v>1200</v>
      </c>
      <c r="C7" s="1">
        <f>IF(2=1,Assumptions!B11,B7*(1+Assumptions!B12/100))</f>
        <v>1254</v>
      </c>
      <c r="D7" s="1">
        <f>IF(3=1,Assumptions!B11,C7*(1+Assumptions!B12/100))</f>
        <v>1310.43</v>
      </c>
      <c r="E7" s="1">
        <f>IF(4=1,Assumptions!B11,D7*(1+Assumptions!B12/100))</f>
        <v>1369.39935</v>
      </c>
      <c r="F7" s="1">
        <f>IF(5=1,Assumptions!B11,E7*(1+Assumptions!B12/100))</f>
        <v>1431.022321</v>
      </c>
      <c r="G7" s="1">
        <f>IF(6=1,Assumptions!B11,F7*(1+Assumptions!B12/100))</f>
        <v>1495.418325</v>
      </c>
      <c r="H7" s="1">
        <f>IF(7=1,Assumptions!B11,G7*(1+Assumptions!B12/100))</f>
        <v>1562.71215</v>
      </c>
      <c r="I7" s="1">
        <f>IF(8=1,Assumptions!B11,H7*(1+Assumptions!B12/100))</f>
        <v>1633.034197</v>
      </c>
      <c r="J7" s="1">
        <f>IF(9=1,Assumptions!B11,I7*(1+Assumptions!B12/100))</f>
        <v>1706.520735</v>
      </c>
      <c r="K7" s="9">
        <f>IF(10=1,Assumptions!B11,J7*(1+Assumptions!B12/100))</f>
        <v>1783.314168</v>
      </c>
    </row>
    <row r="8">
      <c r="A8" s="8" t="s">
        <v>17</v>
      </c>
      <c r="B8" s="1">
        <f>B7*Assumptions!B13/100</f>
        <v>216</v>
      </c>
      <c r="C8" s="1">
        <f>C7*Assumptions!B13/100</f>
        <v>225.72</v>
      </c>
      <c r="D8" s="1">
        <f>D7*Assumptions!B13/100</f>
        <v>235.8774</v>
      </c>
      <c r="E8" s="1">
        <f>E7*Assumptions!B13/100</f>
        <v>246.491883</v>
      </c>
      <c r="F8" s="1">
        <f>F7*Assumptions!B13/100</f>
        <v>257.5840177</v>
      </c>
      <c r="G8" s="1">
        <f>G7*Assumptions!B13/100</f>
        <v>269.1752985</v>
      </c>
      <c r="H8" s="1">
        <f>H7*Assumptions!B13/100</f>
        <v>281.288187</v>
      </c>
      <c r="I8" s="1">
        <f>I7*Assumptions!B13/100</f>
        <v>293.9461554</v>
      </c>
      <c r="J8" s="1">
        <f>J7*Assumptions!B13/100</f>
        <v>307.1737324</v>
      </c>
      <c r="K8" s="9">
        <f>K7*Assumptions!B13/100</f>
        <v>320.9965503</v>
      </c>
    </row>
    <row r="9">
      <c r="A9" s="8" t="s">
        <v>18</v>
      </c>
      <c r="B9" s="1">
        <f>B8*Assumptions!B14/100</f>
        <v>4.32</v>
      </c>
      <c r="C9" s="1">
        <f>C8*Assumptions!B14/100</f>
        <v>4.5144</v>
      </c>
      <c r="D9" s="1">
        <f>D8*Assumptions!B14/100</f>
        <v>4.717548</v>
      </c>
      <c r="E9" s="1">
        <f>E8*Assumptions!B14/100</f>
        <v>4.92983766</v>
      </c>
      <c r="F9" s="1">
        <f>F8*Assumptions!B14/100</f>
        <v>5.151680355</v>
      </c>
      <c r="G9" s="1">
        <f>G8*Assumptions!B14/100</f>
        <v>5.383505971</v>
      </c>
      <c r="H9" s="1">
        <f>H8*Assumptions!B14/100</f>
        <v>5.625763739</v>
      </c>
      <c r="I9" s="1">
        <f>I8*Assumptions!B14/100</f>
        <v>5.878923108</v>
      </c>
      <c r="J9" s="1">
        <f>J8*Assumptions!B14/100</f>
        <v>6.143474647</v>
      </c>
      <c r="K9" s="9">
        <f>K8*Assumptions!B14/100</f>
        <v>6.419931007</v>
      </c>
    </row>
    <row r="10">
      <c r="A10" s="8" t="s">
        <v>19</v>
      </c>
      <c r="B10" s="1">
        <f t="shared" ref="B10:K10" si="1">B8+B9</f>
        <v>220.32</v>
      </c>
      <c r="C10" s="1">
        <f t="shared" si="1"/>
        <v>230.2344</v>
      </c>
      <c r="D10" s="1">
        <f t="shared" si="1"/>
        <v>240.594948</v>
      </c>
      <c r="E10" s="1">
        <f t="shared" si="1"/>
        <v>251.4217207</v>
      </c>
      <c r="F10" s="1">
        <f t="shared" si="1"/>
        <v>262.7356981</v>
      </c>
      <c r="G10" s="1">
        <f t="shared" si="1"/>
        <v>274.5588045</v>
      </c>
      <c r="H10" s="1">
        <f t="shared" si="1"/>
        <v>286.9139507</v>
      </c>
      <c r="I10" s="1">
        <f t="shared" si="1"/>
        <v>299.8250785</v>
      </c>
      <c r="J10" s="1">
        <f t="shared" si="1"/>
        <v>313.317207</v>
      </c>
      <c r="K10" s="9">
        <f t="shared" si="1"/>
        <v>327.4164813</v>
      </c>
    </row>
    <row r="11">
      <c r="A11" s="8" t="s">
        <v>20</v>
      </c>
      <c r="B11" s="1">
        <f>B7*Assumptions!B15/100</f>
        <v>30</v>
      </c>
      <c r="C11" s="1">
        <f>C7*Assumptions!B15/100</f>
        <v>31.35</v>
      </c>
      <c r="D11" s="1">
        <f>D7*Assumptions!B15/100</f>
        <v>32.76075</v>
      </c>
      <c r="E11" s="1">
        <f>E7*Assumptions!B15/100</f>
        <v>34.23498375</v>
      </c>
      <c r="F11" s="1">
        <f>F7*Assumptions!B15/100</f>
        <v>35.77555802</v>
      </c>
      <c r="G11" s="1">
        <f>G7*Assumptions!B15/100</f>
        <v>37.38545813</v>
      </c>
      <c r="H11" s="1">
        <f>H7*Assumptions!B15/100</f>
        <v>39.06780375</v>
      </c>
      <c r="I11" s="1">
        <f>I7*Assumptions!B15/100</f>
        <v>40.82585491</v>
      </c>
      <c r="J11" s="1">
        <f>J7*Assumptions!B15/100</f>
        <v>42.66301839</v>
      </c>
      <c r="K11" s="9">
        <f>K7*Assumptions!B15/100</f>
        <v>44.58285421</v>
      </c>
    </row>
    <row r="12">
      <c r="A12" s="8" t="s">
        <v>21</v>
      </c>
      <c r="B12" s="1">
        <f t="shared" ref="B12:K12" si="2">B10-B11</f>
        <v>190.32</v>
      </c>
      <c r="C12" s="1">
        <f t="shared" si="2"/>
        <v>198.8844</v>
      </c>
      <c r="D12" s="1">
        <f t="shared" si="2"/>
        <v>207.834198</v>
      </c>
      <c r="E12" s="1">
        <f t="shared" si="2"/>
        <v>217.1867369</v>
      </c>
      <c r="F12" s="1">
        <f t="shared" si="2"/>
        <v>226.9601401</v>
      </c>
      <c r="G12" s="1">
        <f t="shared" si="2"/>
        <v>237.1733464</v>
      </c>
      <c r="H12" s="1">
        <f t="shared" si="2"/>
        <v>247.846147</v>
      </c>
      <c r="I12" s="1">
        <f t="shared" si="2"/>
        <v>258.9992236</v>
      </c>
      <c r="J12" s="1">
        <f t="shared" si="2"/>
        <v>270.6541886</v>
      </c>
      <c r="K12" s="9">
        <f t="shared" si="2"/>
        <v>282.8336271</v>
      </c>
    </row>
    <row r="13">
      <c r="A13" s="8" t="s">
        <v>22</v>
      </c>
      <c r="B13" s="1">
        <f>-B12*Assumptions!B18/100</f>
        <v>-57.096</v>
      </c>
      <c r="C13" s="1">
        <f>-C12*Assumptions!B18/100</f>
        <v>-59.66532</v>
      </c>
      <c r="D13" s="1">
        <f>-D12*Assumptions!B18/100</f>
        <v>-62.3502594</v>
      </c>
      <c r="E13" s="1">
        <f>-E12*Assumptions!B18/100</f>
        <v>-65.15602107</v>
      </c>
      <c r="F13" s="1">
        <f>-F12*Assumptions!B18/100</f>
        <v>-68.08804202</v>
      </c>
      <c r="G13" s="1">
        <f>-G12*Assumptions!B18/100</f>
        <v>-71.15200391</v>
      </c>
      <c r="H13" s="1">
        <f>-H12*Assumptions!B18/100</f>
        <v>-74.35384409</v>
      </c>
      <c r="I13" s="1">
        <f>-I12*Assumptions!B18/100</f>
        <v>-77.69976707</v>
      </c>
      <c r="J13" s="1">
        <f>-J12*Assumptions!B18/100</f>
        <v>-81.19625659</v>
      </c>
      <c r="K13" s="9">
        <f>-K12*Assumptions!B18/100</f>
        <v>-84.85008814</v>
      </c>
    </row>
    <row r="14">
      <c r="A14" s="8" t="s">
        <v>23</v>
      </c>
      <c r="B14" s="1">
        <f t="shared" ref="B14:K14" si="3">B12+B13</f>
        <v>133.224</v>
      </c>
      <c r="C14" s="1">
        <f t="shared" si="3"/>
        <v>139.21908</v>
      </c>
      <c r="D14" s="1">
        <f t="shared" si="3"/>
        <v>145.4839386</v>
      </c>
      <c r="E14" s="1">
        <f t="shared" si="3"/>
        <v>152.0307158</v>
      </c>
      <c r="F14" s="1">
        <f t="shared" si="3"/>
        <v>158.872098</v>
      </c>
      <c r="G14" s="1">
        <f t="shared" si="3"/>
        <v>166.0213425</v>
      </c>
      <c r="H14" s="1">
        <f t="shared" si="3"/>
        <v>173.4923029</v>
      </c>
      <c r="I14" s="1">
        <f t="shared" si="3"/>
        <v>181.2994565</v>
      </c>
      <c r="J14" s="1">
        <f t="shared" si="3"/>
        <v>189.457932</v>
      </c>
      <c r="K14" s="9">
        <f t="shared" si="3"/>
        <v>197.983539</v>
      </c>
    </row>
    <row r="15">
      <c r="A15" s="8" t="s">
        <v>24</v>
      </c>
      <c r="B15" s="1">
        <f>-B7*Assumptions!B16/100</f>
        <v>-36</v>
      </c>
      <c r="C15" s="1">
        <f>-C7*Assumptions!B16/100</f>
        <v>-37.62</v>
      </c>
      <c r="D15" s="1">
        <f>-D7*Assumptions!B16/100</f>
        <v>-39.3129</v>
      </c>
      <c r="E15" s="1">
        <f>-E7*Assumptions!B16/100</f>
        <v>-41.0819805</v>
      </c>
      <c r="F15" s="1">
        <f>-F7*Assumptions!B16/100</f>
        <v>-42.93066962</v>
      </c>
      <c r="G15" s="1">
        <f>-G7*Assumptions!B16/100</f>
        <v>-44.86254976</v>
      </c>
      <c r="H15" s="1">
        <f>-H7*Assumptions!B16/100</f>
        <v>-46.88136449</v>
      </c>
      <c r="I15" s="1">
        <f>-I7*Assumptions!B16/100</f>
        <v>-48.9910259</v>
      </c>
      <c r="J15" s="1">
        <f>-J7*Assumptions!B16/100</f>
        <v>-51.19562206</v>
      </c>
      <c r="K15" s="9">
        <f>-K7*Assumptions!B16/100</f>
        <v>-53.49942505</v>
      </c>
    </row>
    <row r="16">
      <c r="A16" s="8" t="s">
        <v>25</v>
      </c>
      <c r="B16" s="1">
        <f>-(B7-Assumptions!B11)*Assumptions!B17/100</f>
        <v>0</v>
      </c>
      <c r="C16" s="1">
        <f>-(C7-Assumptions!B11)*Assumptions!B17/100</f>
        <v>-2.16</v>
      </c>
      <c r="D16" s="1">
        <f>-(D7-Assumptions!B11)*Assumptions!B17/100</f>
        <v>-4.4172</v>
      </c>
      <c r="E16" s="1">
        <f>-(E7-Assumptions!B11)*Assumptions!B17/100</f>
        <v>-6.775974</v>
      </c>
      <c r="F16" s="1">
        <f>-(F7-Assumptions!B11)*Assumptions!B17/100</f>
        <v>-9.24089283</v>
      </c>
      <c r="G16" s="1">
        <f>-(G7-Assumptions!B11)*Assumptions!B17/100</f>
        <v>-11.81673301</v>
      </c>
      <c r="H16" s="1">
        <f>-(H7-Assumptions!B11)*Assumptions!B17/100</f>
        <v>-14.50848599</v>
      </c>
      <c r="I16" s="1">
        <f>-(I7-Assumptions!B11)*Assumptions!B17/100</f>
        <v>-17.32136786</v>
      </c>
      <c r="J16" s="1">
        <f>-(J7-Assumptions!B11)*Assumptions!B17/100</f>
        <v>-20.26082942</v>
      </c>
      <c r="K16" s="9">
        <f>-(K7-Assumptions!B11)*Assumptions!B17/100</f>
        <v>-23.33256674</v>
      </c>
    </row>
    <row r="17">
      <c r="A17" s="10" t="s">
        <v>26</v>
      </c>
      <c r="B17" s="11">
        <f t="shared" ref="B17:K17" si="4">B14+B11+B15+B16</f>
        <v>127.224</v>
      </c>
      <c r="C17" s="11">
        <f t="shared" si="4"/>
        <v>130.78908</v>
      </c>
      <c r="D17" s="11">
        <f t="shared" si="4"/>
        <v>134.5145886</v>
      </c>
      <c r="E17" s="11">
        <f t="shared" si="4"/>
        <v>138.4077451</v>
      </c>
      <c r="F17" s="11">
        <f t="shared" si="4"/>
        <v>142.4760936</v>
      </c>
      <c r="G17" s="11">
        <f t="shared" si="4"/>
        <v>146.7275178</v>
      </c>
      <c r="H17" s="11">
        <f t="shared" si="4"/>
        <v>151.1702561</v>
      </c>
      <c r="I17" s="11">
        <f t="shared" si="4"/>
        <v>155.8129177</v>
      </c>
      <c r="J17" s="11">
        <f t="shared" si="4"/>
        <v>160.664499</v>
      </c>
      <c r="K17" s="12">
        <f t="shared" si="4"/>
        <v>165.7344014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9.71"/>
    <col customWidth="1" min="5" max="26" width="8.71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3" t="s">
        <v>27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 t="s">
        <v>15</v>
      </c>
      <c r="B8" s="15" t="s">
        <v>28</v>
      </c>
      <c r="C8" s="15" t="s">
        <v>29</v>
      </c>
      <c r="D8" s="15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1.0</v>
      </c>
      <c r="B9" s="1">
        <f>Forecast!B17</f>
        <v>127.224</v>
      </c>
      <c r="C9" s="1">
        <f>1/(1+Assumptions!B19/100)^1</f>
        <v>0.9216589862</v>
      </c>
      <c r="D9" s="1">
        <f t="shared" ref="D9:D18" si="1">B9*C9</f>
        <v>117.2571429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2.0</v>
      </c>
      <c r="B10" s="1">
        <f>Forecast!C17</f>
        <v>130.78908</v>
      </c>
      <c r="C10" s="1">
        <f>1/(1+Assumptions!B19/100)^2</f>
        <v>0.8494552868</v>
      </c>
      <c r="D10" s="1">
        <f t="shared" si="1"/>
        <v>111.0994755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v>3.0</v>
      </c>
      <c r="B11" s="1">
        <f>Forecast!D17</f>
        <v>134.5145886</v>
      </c>
      <c r="C11" s="1">
        <f>1/(1+Assumptions!B19/100)^3</f>
        <v>0.7829080984</v>
      </c>
      <c r="D11" s="1">
        <f t="shared" si="1"/>
        <v>105.3125608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v>4.0</v>
      </c>
      <c r="B12" s="1">
        <f>Forecast!E17</f>
        <v>138.4077451</v>
      </c>
      <c r="C12" s="1">
        <f>1/(1+Assumptions!B19/100)^4</f>
        <v>0.7215742843</v>
      </c>
      <c r="D12" s="1">
        <f t="shared" si="1"/>
        <v>99.8714696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v>5.0</v>
      </c>
      <c r="B13" s="1">
        <f>Forecast!F17</f>
        <v>142.4760936</v>
      </c>
      <c r="C13" s="1">
        <f>1/(1+Assumptions!B19/100)^5</f>
        <v>0.6650454233</v>
      </c>
      <c r="D13" s="1">
        <f t="shared" si="1"/>
        <v>94.75307399</v>
      </c>
      <c r="E13" s="1"/>
      <c r="F13" s="1"/>
      <c r="G13" s="1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"/>
      <c r="S13" s="1"/>
      <c r="T13" s="1"/>
      <c r="U13" s="1"/>
      <c r="V13" s="1"/>
      <c r="W13" s="1"/>
      <c r="X13" s="1"/>
      <c r="Y13" s="1"/>
      <c r="Z13" s="1"/>
    </row>
    <row r="14">
      <c r="A14" s="1">
        <v>6.0</v>
      </c>
      <c r="B14" s="1">
        <f>Forecast!G17</f>
        <v>146.7275178</v>
      </c>
      <c r="C14" s="1">
        <f>1/(1+Assumptions!B19/100)^6</f>
        <v>0.6129450906</v>
      </c>
      <c r="D14" s="1">
        <f t="shared" si="1"/>
        <v>89.93591171</v>
      </c>
      <c r="E14" s="1"/>
      <c r="F14" s="1"/>
      <c r="G14" s="1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"/>
      <c r="S14" s="1"/>
      <c r="T14" s="1"/>
      <c r="U14" s="1"/>
      <c r="V14" s="1"/>
      <c r="W14" s="1"/>
      <c r="X14" s="1"/>
      <c r="Y14" s="1"/>
      <c r="Z14" s="1"/>
    </row>
    <row r="15">
      <c r="A15" s="1">
        <v>7.0</v>
      </c>
      <c r="B15" s="1">
        <f>Forecast!H17</f>
        <v>151.1702561</v>
      </c>
      <c r="C15" s="1">
        <f>1/(1+Assumptions!B19/100)^7</f>
        <v>0.5649263508</v>
      </c>
      <c r="D15" s="1">
        <f t="shared" si="1"/>
        <v>85.40006114</v>
      </c>
      <c r="E15" s="1"/>
      <c r="F15" s="1"/>
      <c r="G15" s="1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"/>
      <c r="S15" s="1"/>
      <c r="T15" s="1"/>
      <c r="U15" s="1"/>
      <c r="V15" s="1"/>
      <c r="W15" s="1"/>
      <c r="X15" s="1"/>
      <c r="Y15" s="1"/>
      <c r="Z15" s="1"/>
    </row>
    <row r="16">
      <c r="A16" s="1">
        <v>8.0</v>
      </c>
      <c r="B16" s="1">
        <f>Forecast!I17</f>
        <v>155.8129177</v>
      </c>
      <c r="C16" s="1">
        <f>1/(1+Assumptions!B19/100)^8</f>
        <v>0.5206694477</v>
      </c>
      <c r="D16" s="1">
        <f t="shared" si="1"/>
        <v>81.12702578</v>
      </c>
      <c r="E16" s="1"/>
      <c r="F16" s="1"/>
      <c r="G16" s="1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"/>
      <c r="S16" s="1"/>
      <c r="T16" s="1"/>
      <c r="U16" s="1"/>
      <c r="V16" s="1"/>
      <c r="W16" s="1"/>
      <c r="X16" s="1"/>
      <c r="Y16" s="1"/>
      <c r="Z16" s="1"/>
    </row>
    <row r="17">
      <c r="A17" s="1">
        <v>9.0</v>
      </c>
      <c r="B17" s="1">
        <f>Forecast!J17</f>
        <v>160.664499</v>
      </c>
      <c r="C17" s="1">
        <f>1/(1+Assumptions!B19/100)^9</f>
        <v>0.4798796753</v>
      </c>
      <c r="D17" s="1">
        <f t="shared" si="1"/>
        <v>77.09962759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>
        <v>10.0</v>
      </c>
      <c r="B18" s="1">
        <f>Forecast!K17</f>
        <v>165.7344014</v>
      </c>
      <c r="C18" s="1">
        <f>1/(1+Assumptions!B19/100)^10</f>
        <v>0.442285415</v>
      </c>
      <c r="D18" s="1">
        <f t="shared" si="1"/>
        <v>73.30190851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31</v>
      </c>
      <c r="B20" s="1">
        <f>B18*(1+Assumptions!B20/100)/(Assumptions!B19/100-Assumptions!B20/100)</f>
        <v>2831.296024</v>
      </c>
      <c r="C20" s="1"/>
      <c r="D20" s="1">
        <f>B20/(1+Assumptions!B19/100)^10</f>
        <v>1252.240937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32</v>
      </c>
      <c r="B22" s="1"/>
      <c r="C22" s="1"/>
      <c r="D22" s="1">
        <f>SUM(D9:D18)+D20</f>
        <v>2187.399194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33</v>
      </c>
      <c r="B23" s="1"/>
      <c r="C23" s="1"/>
      <c r="D23" s="1">
        <f>D22-Assumptions!B9</f>
        <v>1887.399194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34</v>
      </c>
      <c r="B24" s="1"/>
      <c r="C24" s="1"/>
      <c r="D24" s="1">
        <f>D23-Assumptions!B8</f>
        <v>387.3991945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25.29"/>
    <col customWidth="1" min="3" max="26" width="8.71"/>
  </cols>
  <sheetData>
    <row r="1">
      <c r="A1" s="2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15</v>
      </c>
      <c r="B3" s="2" t="s">
        <v>36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>
        <f>-Assumptions!B8</f>
        <v>-1500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>
        <v>0.0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>
        <v>0.0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>
        <v>0.0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>
        <v>0.0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>
        <v>0.0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>
        <v>0.0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>
        <v>0.0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>
        <v>0.0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>
        <v>0.0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>
        <f>Valuation!D23</f>
        <v>1887.399194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37</v>
      </c>
      <c r="B16" s="17">
        <f>IRR(B4:B14)</f>
        <v>0.02323939118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38</v>
      </c>
      <c r="B17" s="1">
        <f>B14/ABS(B4)</f>
        <v>1.25826613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4.14"/>
    <col customWidth="1" min="5" max="26" width="8.71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39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40</v>
      </c>
      <c r="B8" s="2">
        <v>2.0</v>
      </c>
      <c r="C8" s="2">
        <v>2.5</v>
      </c>
      <c r="D8" s="2">
        <v>3.0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7.5</v>
      </c>
      <c r="B9" s="1">
        <f>Valuation!D24</f>
        <v>387.3991945</v>
      </c>
      <c r="C9" s="1">
        <f>Valuation!D24</f>
        <v>387.3991945</v>
      </c>
      <c r="D9" s="1">
        <f>Valuation!D24</f>
        <v>387.3991945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8.0</v>
      </c>
      <c r="B10" s="1">
        <f>Valuation!D24</f>
        <v>387.3991945</v>
      </c>
      <c r="C10" s="1">
        <f>Valuation!D24</f>
        <v>387.3991945</v>
      </c>
      <c r="D10" s="1">
        <f>Valuation!D24</f>
        <v>387.3991945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v>8.5</v>
      </c>
      <c r="B11" s="1">
        <f>Valuation!D24</f>
        <v>387.3991945</v>
      </c>
      <c r="C11" s="1">
        <f>Valuation!D24</f>
        <v>387.3991945</v>
      </c>
      <c r="D11" s="1">
        <f>Valuation!D24</f>
        <v>387.3991945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v>9.0</v>
      </c>
      <c r="B12" s="1">
        <f>Valuation!D24</f>
        <v>387.3991945</v>
      </c>
      <c r="C12" s="1">
        <f>Valuation!D24</f>
        <v>387.3991945</v>
      </c>
      <c r="D12" s="1">
        <f>Valuation!D24</f>
        <v>387.3991945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v>9.5</v>
      </c>
      <c r="B13" s="1">
        <f>Valuation!D24</f>
        <v>387.3991945</v>
      </c>
      <c r="C13" s="1">
        <f>Valuation!D24</f>
        <v>387.3991945</v>
      </c>
      <c r="D13" s="1">
        <f>Valuation!D24</f>
        <v>387.3991945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8" t="s">
        <v>41</v>
      </c>
    </row>
    <row r="3">
      <c r="A3" s="19" t="s">
        <v>42</v>
      </c>
      <c r="B3" s="19" t="s">
        <v>43</v>
      </c>
    </row>
    <row r="4">
      <c r="A4" s="19" t="s">
        <v>44</v>
      </c>
      <c r="B4" s="19" t="s">
        <v>45</v>
      </c>
    </row>
    <row r="5">
      <c r="A5" s="19" t="s">
        <v>46</v>
      </c>
      <c r="B5" s="19">
        <f>Assumptions!B8</f>
        <v>1500</v>
      </c>
    </row>
    <row r="6">
      <c r="A6" s="19" t="s">
        <v>47</v>
      </c>
      <c r="B6" s="19">
        <f>Valuation!D22</f>
        <v>2187.399194</v>
      </c>
    </row>
    <row r="7">
      <c r="A7" s="19" t="s">
        <v>48</v>
      </c>
      <c r="B7" s="19">
        <f>Valuation!D24</f>
        <v>387.3991945</v>
      </c>
    </row>
    <row r="8">
      <c r="A8" s="19" t="s">
        <v>37</v>
      </c>
      <c r="B8" s="20">
        <f>Returns!B16</f>
        <v>0.02323939118</v>
      </c>
    </row>
    <row r="9">
      <c r="A9" s="19" t="s">
        <v>38</v>
      </c>
      <c r="B9" s="19">
        <f>Returns!B17</f>
        <v>1.25826613</v>
      </c>
    </row>
    <row r="10">
      <c r="A10" s="19" t="s">
        <v>49</v>
      </c>
      <c r="B10" s="19" t="s">
        <v>50</v>
      </c>
    </row>
    <row r="11">
      <c r="A11" s="19" t="s">
        <v>51</v>
      </c>
      <c r="B11" s="19" t="s">
        <v>52</v>
      </c>
    </row>
    <row r="12">
      <c r="A12" s="19" t="s">
        <v>53</v>
      </c>
      <c r="B12" s="1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